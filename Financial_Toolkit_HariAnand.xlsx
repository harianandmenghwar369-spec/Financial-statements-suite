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come Statement" sheetId="2" state="visible" r:id="rId2"/>
    <sheet name="Balance Sheet" sheetId="3" state="visible" r:id="rId3"/>
    <sheet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&quot;-&quot;"/>
    <numFmt numFmtId="165" formatCode="0.0%;(0.0%);&quot;-&quot;"/>
    <numFmt numFmtId="166" formatCode="0.0%"/>
    <numFmt numFmtId="167" formatCode="0.00x"/>
    <numFmt numFmtId="168" formatCode="0.0"/>
  </numFmts>
  <fonts count="25">
    <font>
      <name val="Calibri"/>
      <family val="2"/>
      <color theme="1"/>
      <sz val="11"/>
      <scheme val="minor"/>
    </font>
    <font>
      <name val="Arial"/>
      <b val="1"/>
      <color rgb="FFFFFFFF"/>
      <sz val="22"/>
    </font>
    <font>
      <name val="Arial"/>
      <i val="1"/>
      <color rgb="FF6B7280"/>
      <sz val="11"/>
    </font>
    <font>
      <name val="Arial"/>
      <b val="1"/>
      <color rgb="FFFFFFFF"/>
      <sz val="12"/>
    </font>
    <font>
      <name val="Arial"/>
      <color rgb="FF374151"/>
      <sz val="11"/>
    </font>
    <font>
      <name val="Arial"/>
      <b val="1"/>
      <color rgb="FFFFFFFF"/>
      <sz val="20"/>
    </font>
    <font>
      <name val="Arial"/>
      <i val="1"/>
      <color rgb="FF6B7280"/>
      <sz val="10"/>
    </font>
    <font>
      <name val="Arial"/>
      <b val="1"/>
      <color rgb="FFFFFFFF"/>
      <sz val="10"/>
    </font>
    <font>
      <name val="Arial"/>
      <color rgb="FF1E3A8A"/>
      <sz val="11"/>
    </font>
    <font>
      <name val="Arial"/>
      <color rgb="FF6B7280"/>
      <sz val="11"/>
    </font>
    <font>
      <name val="Arial"/>
      <b val="1"/>
      <color rgb="FF0F6E56"/>
      <sz val="11"/>
    </font>
    <font>
      <name val="Arial"/>
      <b val="1"/>
      <color rgb="FFD97706"/>
      <sz val="11"/>
    </font>
    <font>
      <name val="Arial"/>
      <color rgb="FF111827"/>
      <sz val="11"/>
    </font>
    <font>
      <name val="Arial"/>
      <b val="1"/>
      <color rgb="FFFFFFFF"/>
      <sz val="13"/>
    </font>
    <font>
      <name val="Arial"/>
      <b val="1"/>
      <color rgb="FF1DBF73"/>
      <sz val="11"/>
    </font>
    <font>
      <name val="Arial"/>
      <color rgb="FF1D4ED8"/>
      <sz val="11"/>
    </font>
    <font>
      <name val="Arial"/>
      <i val="1"/>
      <color rgb="FF6B7280"/>
      <sz val="9"/>
    </font>
    <font>
      <name val="Arial"/>
      <b val="1"/>
      <color rgb="FFFFFFFF"/>
      <sz val="11"/>
    </font>
    <font>
      <name val="Arial"/>
      <b val="1"/>
      <color rgb="FFDC2626"/>
      <sz val="11"/>
    </font>
    <font>
      <name val="Arial"/>
      <b val="1"/>
      <color rgb="FFFFFFFF"/>
      <sz val="18"/>
    </font>
    <font>
      <name val="Arial"/>
      <b val="1"/>
      <color rgb="FF1D4ED8"/>
      <sz val="11"/>
    </font>
    <font>
      <name val="Arial"/>
      <b val="1"/>
      <color rgb="FF111827"/>
      <sz val="11"/>
    </font>
    <font>
      <name val="Arial"/>
      <b val="1"/>
      <color rgb="FF1DBF73"/>
      <sz val="13"/>
    </font>
    <font>
      <name val="Arial"/>
      <color rgb="FFD97706"/>
      <sz val="11"/>
    </font>
    <font>
      <name val="Arial"/>
      <color rgb="FF0F6E56"/>
      <sz val="11"/>
    </font>
  </fonts>
  <fills count="12">
    <fill>
      <patternFill/>
    </fill>
    <fill>
      <patternFill patternType="gray125"/>
    </fill>
    <fill>
      <patternFill patternType="solid">
        <fgColor rgb="FF0D0D0D"/>
      </patternFill>
    </fill>
    <fill>
      <patternFill patternType="solid">
        <fgColor rgb="FF0F6E56"/>
      </patternFill>
    </fill>
    <fill>
      <patternFill patternType="solid">
        <fgColor rgb="FFE8FAF2"/>
      </patternFill>
    </fill>
    <fill>
      <patternFill patternType="solid">
        <fgColor rgb="FFFEF3C7"/>
      </patternFill>
    </fill>
    <fill>
      <patternFill patternType="solid">
        <fgColor rgb="FF1D9E75"/>
      </patternFill>
    </fill>
    <fill>
      <patternFill patternType="solid">
        <fgColor rgb="FFB91C1C"/>
      </patternFill>
    </fill>
    <fill>
      <patternFill patternType="solid">
        <fgColor rgb="FFFEF2F2"/>
      </patternFill>
    </fill>
    <fill>
      <patternFill patternType="solid">
        <fgColor rgb="FF7F1D1D"/>
      </patternFill>
    </fill>
    <fill>
      <patternFill patternType="solid">
        <fgColor rgb="FFEFF6FF"/>
      </patternFill>
    </fill>
    <fill>
      <patternFill patternType="solid">
        <fgColor rgb="FF111827"/>
      </patternFill>
    </fill>
  </fills>
  <borders count="5">
    <border>
      <left/>
      <right/>
      <top/>
      <bottom/>
      <diagonal/>
    </border>
    <border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bottom style="medium">
        <color rgb="FF1DBF73"/>
      </bottom>
    </border>
    <border>
      <bottom style="medium">
        <color rgb="FFDC2626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1" applyAlignment="1" pivotButton="0" quotePrefix="0" xfId="0">
      <alignment horizontal="left" vertical="center"/>
    </xf>
    <xf numFmtId="164" fontId="8" fillId="0" borderId="2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0" fontId="10" fillId="4" borderId="0" applyAlignment="1" pivotButton="0" quotePrefix="0" xfId="0">
      <alignment horizontal="left" vertical="center"/>
    </xf>
    <xf numFmtId="0" fontId="0" fillId="4" borderId="0" pivotButton="0" quotePrefix="0" xfId="0"/>
    <xf numFmtId="164" fontId="10" fillId="4" borderId="3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5" fontId="10" fillId="4" borderId="0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/>
    </xf>
    <xf numFmtId="0" fontId="0" fillId="5" borderId="0" pivotButton="0" quotePrefix="0" xfId="0"/>
    <xf numFmtId="164" fontId="11" fillId="5" borderId="3" applyAlignment="1" pivotButton="0" quotePrefix="0" xfId="0">
      <alignment horizontal="right" vertical="center"/>
    </xf>
    <xf numFmtId="165" fontId="11" fillId="5" borderId="0" applyAlignment="1" pivotButton="0" quotePrefix="0" xfId="0">
      <alignment horizontal="right" vertical="center"/>
    </xf>
    <xf numFmtId="9" fontId="8" fillId="0" borderId="2" applyAlignment="1" pivotButton="0" quotePrefix="0" xfId="0">
      <alignment horizontal="right" vertical="center"/>
    </xf>
    <xf numFmtId="164" fontId="12" fillId="0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left" vertical="center"/>
    </xf>
    <xf numFmtId="164" fontId="13" fillId="2" borderId="3" applyAlignment="1" pivotButton="0" quotePrefix="0" xfId="0">
      <alignment horizontal="right" vertical="center"/>
    </xf>
    <xf numFmtId="165" fontId="14" fillId="2" borderId="0" applyAlignment="1" pivotButton="0" quotePrefix="0" xfId="0">
      <alignment horizontal="right" vertical="center"/>
    </xf>
    <xf numFmtId="165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17" fillId="6" borderId="0" applyAlignment="1" pivotButton="0" quotePrefix="0" xfId="0">
      <alignment horizontal="center" vertical="center"/>
    </xf>
    <xf numFmtId="0" fontId="10" fillId="4" borderId="0" pivotButton="0" quotePrefix="0" xfId="0"/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0" fillId="8" borderId="0" pivotButton="0" quotePrefix="0" xfId="0"/>
    <xf numFmtId="164" fontId="18" fillId="8" borderId="3" applyAlignment="1" pivotButton="0" quotePrefix="0" xfId="0">
      <alignment horizontal="right" vertical="center"/>
    </xf>
    <xf numFmtId="0" fontId="13" fillId="9" borderId="0" applyAlignment="1" pivotButton="0" quotePrefix="0" xfId="0">
      <alignment horizontal="left" vertical="center"/>
    </xf>
    <xf numFmtId="0" fontId="0" fillId="9" borderId="0" pivotButton="0" quotePrefix="0" xfId="0"/>
    <xf numFmtId="164" fontId="13" fillId="9" borderId="4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167" fontId="15" fillId="0" borderId="0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64" fontId="15" fillId="0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center" vertical="center"/>
    </xf>
    <xf numFmtId="0" fontId="7" fillId="3" borderId="0" pivotButton="0" quotePrefix="0" xfId="0"/>
    <xf numFmtId="164" fontId="10" fillId="4" borderId="0" applyAlignment="1" pivotButton="0" quotePrefix="0" xfId="0">
      <alignment horizontal="right" vertical="center"/>
    </xf>
    <xf numFmtId="164" fontId="18" fillId="8" borderId="0" applyAlignment="1" pivotButton="0" quotePrefix="0" xfId="0">
      <alignment horizontal="right" vertical="center"/>
    </xf>
    <xf numFmtId="164" fontId="17" fillId="3" borderId="0" applyAlignment="1" pivotButton="0" quotePrefix="0" xfId="0">
      <alignment horizontal="right" vertical="center"/>
    </xf>
    <xf numFmtId="164" fontId="11" fillId="5" borderId="0" applyAlignment="1" pivotButton="0" quotePrefix="0" xfId="0">
      <alignment horizontal="right" vertical="center"/>
    </xf>
    <xf numFmtId="164" fontId="20" fillId="10" borderId="0" applyAlignment="1" pivotButton="0" quotePrefix="0" xfId="0">
      <alignment horizontal="right" vertical="center"/>
    </xf>
    <xf numFmtId="0" fontId="7" fillId="11" borderId="0" applyAlignment="1" pivotButton="0" quotePrefix="0" xfId="0">
      <alignment horizontal="left" vertical="center"/>
    </xf>
    <xf numFmtId="0" fontId="0" fillId="11" borderId="0" pivotButton="0" quotePrefix="0" xfId="0"/>
    <xf numFmtId="164" fontId="21" fillId="0" borderId="0" applyAlignment="1" pivotButton="0" quotePrefix="0" xfId="0">
      <alignment horizontal="right" vertical="center"/>
    </xf>
    <xf numFmtId="164" fontId="22" fillId="2" borderId="3" applyAlignment="1" pivotButton="0" quotePrefix="0" xfId="0">
      <alignment horizontal="right" vertical="center"/>
    </xf>
    <xf numFmtId="164" fontId="23" fillId="0" borderId="0" applyAlignment="1" pivotButton="0" quotePrefix="0" xfId="0">
      <alignment horizontal="right" vertical="center"/>
    </xf>
    <xf numFmtId="168" fontId="15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BF73"/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2" customWidth="1" min="3" max="3"/>
  </cols>
  <sheetData>
    <row r="1" ht="50" customHeight="1">
      <c r="B1" s="1" t="inlineStr">
        <is>
          <t>THE SOLO OPERATOR'S FINANCIAL TOOLKIT</t>
        </is>
      </c>
    </row>
    <row r="2" ht="20" customHeight="1">
      <c r="B2" s="2" t="inlineStr">
        <is>
          <t>Built by Hari Anand  •  linkedin.com/in/harianand07</t>
        </is>
      </c>
    </row>
    <row r="3" ht="12" customHeight="1"/>
    <row r="4" ht="24" customHeight="1">
      <c r="B4" s="3" t="inlineStr">
        <is>
          <t>STEP 1 — Income Statement</t>
        </is>
      </c>
    </row>
    <row r="5" ht="18" customHeight="1">
      <c r="B5" s="4" t="inlineStr">
        <is>
          <t>Go to the 'Income Statement' tab. Enter your revenue, COGS, and expenses in the BLUE cells. Net profit calculates automatically.</t>
        </is>
      </c>
    </row>
    <row r="6" ht="8" customHeight="1"/>
    <row r="7" ht="24" customHeight="1">
      <c r="B7" s="3" t="inlineStr">
        <is>
          <t>STEP 2 — Balance Sheet</t>
        </is>
      </c>
    </row>
    <row r="8" ht="18" customHeight="1">
      <c r="B8" s="4" t="inlineStr">
        <is>
          <t>Go to the 'Balance Sheet' tab. Enter your assets, liabilities, and equity in BLUE cells. The Balance Check at the bottom must equal $0.</t>
        </is>
      </c>
    </row>
    <row r="9" ht="8" customHeight="1"/>
    <row r="10" ht="24" customHeight="1">
      <c r="B10" s="3" t="inlineStr">
        <is>
          <t>STEP 3 — Cash Flow</t>
        </is>
      </c>
    </row>
    <row r="11" ht="18" customHeight="1">
      <c r="B11" s="4" t="inlineStr">
        <is>
          <t>Go to the 'Cash Flow' tab. Enter monthly figures for 6 months. Opening balances auto-link month to month. Watch your runway metric.</t>
        </is>
      </c>
    </row>
    <row r="12" ht="8" customHeight="1"/>
    <row r="13" ht="24" customHeight="1">
      <c r="B13" s="3" t="inlineStr">
        <is>
          <t>COLOUR CODE</t>
        </is>
      </c>
    </row>
    <row r="14" ht="18" customHeight="1">
      <c r="B14" s="4" t="inlineStr">
        <is>
          <t>BLUE text = input cells (you fill these)</t>
        </is>
      </c>
    </row>
    <row r="15" ht="18" customHeight="1">
      <c r="B15" s="4" t="inlineStr">
        <is>
          <t>BLACK text = formula cells (auto-calculated, do not edit)</t>
        </is>
      </c>
    </row>
    <row r="16" ht="18" customHeight="1">
      <c r="B16" s="4" t="inlineStr">
        <is>
          <t>GREEN = healthy / profit</t>
        </is>
      </c>
    </row>
    <row r="17" ht="18" customHeight="1">
      <c r="B17" s="4" t="inlineStr">
        <is>
          <t>RED = expense / loss / danger</t>
        </is>
      </c>
    </row>
    <row r="18" ht="18" customHeight="1">
      <c r="B18" s="4" t="inlineStr">
        <is>
          <t>AMBER = warning / expense category</t>
        </is>
      </c>
    </row>
    <row r="19" ht="8" customHeight="1"/>
    <row r="20" ht="24" customHeight="1">
      <c r="B20" s="3" t="inlineStr">
        <is>
          <t>HOW TO USE</t>
        </is>
      </c>
    </row>
    <row r="21" ht="18" customHeight="1">
      <c r="B21" s="4" t="inlineStr">
        <is>
          <t>1. Fill in your real business numbers each month</t>
        </is>
      </c>
    </row>
    <row r="22" ht="18" customHeight="1">
      <c r="B22" s="4" t="inlineStr">
        <is>
          <t>2. Share the Income Statement with your accountant</t>
        </is>
      </c>
    </row>
    <row r="23" ht="18" customHeight="1">
      <c r="B23" s="4" t="inlineStr">
        <is>
          <t>3. Use the Balance Sheet when applying for a bank loan</t>
        </is>
      </c>
    </row>
    <row r="24" ht="18" customHeight="1">
      <c r="B24" s="4" t="inlineStr">
        <is>
          <t>4. Monitor Cash Flow every week to avoid running out of cash</t>
        </is>
      </c>
    </row>
    <row r="25" ht="8" customHeight="1"/>
    <row r="26" ht="24" customHeight="1">
      <c r="B26" s="3" t="inlineStr">
        <is>
          <t>SUPPORT / CUSTOM WORK</t>
        </is>
      </c>
    </row>
    <row r="27" ht="18" customHeight="1">
      <c r="B27" s="4" t="inlineStr">
        <is>
          <t>Need a custom version for your business? Want dashboards, charts, or AI integration?</t>
        </is>
      </c>
    </row>
    <row r="28" ht="18" customHeight="1">
      <c r="B28" s="4" t="inlineStr">
        <is>
          <t>Connect: linkedin.com/in/harianand07</t>
        </is>
      </c>
    </row>
    <row r="29" ht="8" customHeight="1"/>
  </sheetData>
  <mergeCells count="1">
    <mergeCell ref="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6E56"/>
    <outlinePr summaryBelow="1" summaryRight="1"/>
    <pageSetUpPr/>
  </sheetPr>
  <dimension ref="B1:F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34" customWidth="1" min="2" max="2"/>
    <col width="4" customWidth="1" min="3" max="3"/>
    <col width="4" customWidth="1" min="4" max="4"/>
    <col width="16" customWidth="1" min="5" max="5"/>
    <col width="16" customWidth="1" min="6" max="6"/>
    <col width="4" customWidth="1" min="7" max="7"/>
  </cols>
  <sheetData>
    <row r="1" ht="42" customHeight="1">
      <c r="B1" s="5" t="inlineStr">
        <is>
          <t>INCOME STATEMENT</t>
        </is>
      </c>
    </row>
    <row r="2" ht="18" customHeight="1">
      <c r="B2" s="6" t="inlineStr">
        <is>
          <t>The Solo Operator's Financial Toolkit  •  harianand07</t>
        </is>
      </c>
    </row>
    <row r="3" ht="8" customHeight="1"/>
    <row r="4" ht="22" customHeight="1">
      <c r="B4" s="7" t="inlineStr">
        <is>
          <t>Line Item</t>
        </is>
      </c>
      <c r="E4" s="8" t="inlineStr">
        <is>
          <t>Amount ($)</t>
        </is>
      </c>
      <c r="F4" s="8" t="inlineStr">
        <is>
          <t>% of Revenue</t>
        </is>
      </c>
    </row>
    <row r="5" ht="6" customHeight="1"/>
    <row r="6" ht="22" customHeight="1">
      <c r="B6" s="9" t="inlineStr">
        <is>
          <t xml:space="preserve">  REVENUE</t>
        </is>
      </c>
      <c r="C6" s="10" t="n"/>
      <c r="D6" s="10" t="n"/>
      <c r="E6" s="10" t="n"/>
      <c r="F6" s="10" t="n"/>
    </row>
    <row r="7" ht="18" customHeight="1">
      <c r="B7" s="11" t="inlineStr">
        <is>
          <t>Product / service sales</t>
        </is>
      </c>
      <c r="E7" s="12" t="n">
        <v>45000</v>
      </c>
      <c r="F7" s="13">
        <f>IF(E13=0,0,E7/E13)</f>
        <v/>
      </c>
    </row>
    <row r="8" ht="18" customHeight="1">
      <c r="B8" s="11" t="inlineStr">
        <is>
          <t>Consulting / project fees</t>
        </is>
      </c>
      <c r="E8" s="12" t="n">
        <v>18000</v>
      </c>
      <c r="F8" s="13">
        <f>IF(E14=0,0,E8/E14)</f>
        <v/>
      </c>
    </row>
    <row r="9" ht="18" customHeight="1">
      <c r="B9" s="11" t="inlineStr">
        <is>
          <t>Recurring / retainer income</t>
        </is>
      </c>
      <c r="E9" s="12" t="n">
        <v>8000</v>
      </c>
      <c r="F9" s="13">
        <f>IF(E15=0,0,E9/E15)</f>
        <v/>
      </c>
    </row>
    <row r="10" ht="18" customHeight="1">
      <c r="B10" s="11" t="inlineStr">
        <is>
          <t>Other income</t>
        </is>
      </c>
      <c r="E10" s="12" t="n">
        <v>2500</v>
      </c>
      <c r="F10" s="13">
        <f>IF(E16=0,0,E10/E16)</f>
        <v/>
      </c>
    </row>
    <row r="11" ht="18" customHeight="1">
      <c r="B11" s="11" t="inlineStr">
        <is>
          <t>Less: discounts &amp; returns</t>
        </is>
      </c>
      <c r="E11" s="12" t="n">
        <v>1200</v>
      </c>
    </row>
    <row r="12" ht="20" customHeight="1">
      <c r="B12" s="14" t="inlineStr">
        <is>
          <t>Gross Revenue</t>
        </is>
      </c>
      <c r="C12" s="15" t="n"/>
      <c r="D12" s="15" t="n"/>
      <c r="E12" s="16">
        <f>SUM(E7:E10)</f>
        <v/>
      </c>
      <c r="F12" s="17">
        <f>1</f>
        <v/>
      </c>
    </row>
    <row r="13" ht="20" customHeight="1">
      <c r="B13" s="14" t="inlineStr">
        <is>
          <t>Net Revenue</t>
        </is>
      </c>
      <c r="C13" s="15" t="n"/>
      <c r="D13" s="15" t="n"/>
      <c r="E13" s="16">
        <f>E12-E11</f>
        <v/>
      </c>
      <c r="F13" s="18">
        <f>IF(E13=0,0,E12/E13)</f>
        <v/>
      </c>
    </row>
    <row r="15" ht="22" customHeight="1">
      <c r="B15" s="9" t="inlineStr">
        <is>
          <t xml:space="preserve">  COST OF GOODS SOLD (COGS)</t>
        </is>
      </c>
      <c r="C15" s="10" t="n"/>
      <c r="D15" s="10" t="n"/>
      <c r="E15" s="10" t="n"/>
      <c r="F15" s="10" t="n"/>
    </row>
    <row r="16" ht="18" customHeight="1">
      <c r="B16" s="11" t="inlineStr">
        <is>
          <t>Raw materials / inventory</t>
        </is>
      </c>
      <c r="E16" s="12" t="n">
        <v>12000</v>
      </c>
      <c r="F16" s="13">
        <f>IF(E13=0,0,E16/E13)</f>
        <v/>
      </c>
    </row>
    <row r="17" ht="18" customHeight="1">
      <c r="B17" s="11" t="inlineStr">
        <is>
          <t>Direct labour costs</t>
        </is>
      </c>
      <c r="E17" s="12" t="n">
        <v>8000</v>
      </c>
      <c r="F17" s="13">
        <f>IF(E13=0,0,E17/E13)</f>
        <v/>
      </c>
    </row>
    <row r="18" ht="18" customHeight="1">
      <c r="B18" s="11" t="inlineStr">
        <is>
          <t>Manufacturing overhead</t>
        </is>
      </c>
      <c r="E18" s="12" t="n">
        <v>3000</v>
      </c>
      <c r="F18" s="13">
        <f>IF(E13=0,0,E18/E13)</f>
        <v/>
      </c>
    </row>
    <row r="19" ht="20" customHeight="1">
      <c r="B19" s="19" t="inlineStr">
        <is>
          <t>Total COGS</t>
        </is>
      </c>
      <c r="C19" s="20" t="n"/>
      <c r="D19" s="20" t="n"/>
      <c r="E19" s="21">
        <f>SUM(E16:E18)</f>
        <v/>
      </c>
      <c r="F19" s="22">
        <f>IF(E13=0,0,E19/E13)</f>
        <v/>
      </c>
    </row>
    <row r="20" ht="20" customHeight="1">
      <c r="B20" s="14" t="inlineStr">
        <is>
          <t>GROSS PROFIT</t>
        </is>
      </c>
      <c r="C20" s="15" t="n"/>
      <c r="D20" s="15" t="n"/>
      <c r="E20" s="16">
        <f>E13-E19</f>
        <v/>
      </c>
      <c r="F20" s="18">
        <f>IF(E13=0,0,E20/E13)</f>
        <v/>
      </c>
    </row>
    <row r="22" ht="22" customHeight="1">
      <c r="B22" s="9" t="inlineStr">
        <is>
          <t xml:space="preserve">  OPERATING EXPENSES</t>
        </is>
      </c>
      <c r="C22" s="10" t="n"/>
      <c r="D22" s="10" t="n"/>
      <c r="E22" s="10" t="n"/>
      <c r="F22" s="10" t="n"/>
    </row>
    <row r="23" ht="18" customHeight="1">
      <c r="B23" s="11" t="inlineStr">
        <is>
          <t>Rent &amp; utilities</t>
        </is>
      </c>
      <c r="E23" s="12" t="n">
        <v>4500</v>
      </c>
      <c r="F23" s="13">
        <f>IF(E13=0,0,E23/E13)</f>
        <v/>
      </c>
    </row>
    <row r="24" ht="18" customHeight="1">
      <c r="B24" s="11" t="inlineStr">
        <is>
          <t>Staff salaries</t>
        </is>
      </c>
      <c r="E24" s="12" t="n">
        <v>15000</v>
      </c>
      <c r="F24" s="13">
        <f>IF(E13=0,0,E24/E13)</f>
        <v/>
      </c>
    </row>
    <row r="25" ht="18" customHeight="1">
      <c r="B25" s="11" t="inlineStr">
        <is>
          <t>Marketing &amp; advertising</t>
        </is>
      </c>
      <c r="E25" s="12" t="n">
        <v>3000</v>
      </c>
      <c r="F25" s="13">
        <f>IF(E13=0,0,E25/E13)</f>
        <v/>
      </c>
    </row>
    <row r="26" ht="18" customHeight="1">
      <c r="B26" s="11" t="inlineStr">
        <is>
          <t>Software &amp; subscriptions</t>
        </is>
      </c>
      <c r="E26" s="12" t="n">
        <v>1200</v>
      </c>
      <c r="F26" s="13">
        <f>IF(E13=0,0,E26/E13)</f>
        <v/>
      </c>
    </row>
    <row r="27" ht="18" customHeight="1">
      <c r="B27" s="11" t="inlineStr">
        <is>
          <t>Insurance</t>
        </is>
      </c>
      <c r="E27" s="12" t="n">
        <v>800</v>
      </c>
      <c r="F27" s="13">
        <f>IF(E13=0,0,E27/E13)</f>
        <v/>
      </c>
    </row>
    <row r="28" ht="18" customHeight="1">
      <c r="B28" s="11" t="inlineStr">
        <is>
          <t>Admin &amp; miscellaneous</t>
        </is>
      </c>
      <c r="E28" s="12" t="n">
        <v>2200</v>
      </c>
      <c r="F28" s="13">
        <f>IF(E13=0,0,E28/E13)</f>
        <v/>
      </c>
    </row>
    <row r="29" ht="20" customHeight="1">
      <c r="B29" s="19" t="inlineStr">
        <is>
          <t>Total Operating Expenses</t>
        </is>
      </c>
      <c r="C29" s="20" t="n"/>
      <c r="D29" s="20" t="n"/>
      <c r="E29" s="21">
        <f>SUM(E23:E28)</f>
        <v/>
      </c>
      <c r="F29" s="22">
        <f>IF(E13=0,0,E29/E13)</f>
        <v/>
      </c>
    </row>
    <row r="30" ht="20" customHeight="1">
      <c r="B30" s="14" t="inlineStr">
        <is>
          <t>EBIT (Operating Profit)</t>
        </is>
      </c>
      <c r="C30" s="15" t="n"/>
      <c r="D30" s="15" t="n"/>
      <c r="E30" s="16">
        <f>E20-E29</f>
        <v/>
      </c>
      <c r="F30" s="18">
        <f>IF(E13=0,0,E30/E13)</f>
        <v/>
      </c>
    </row>
    <row r="32" ht="22" customHeight="1">
      <c r="B32" s="9" t="inlineStr">
        <is>
          <t xml:space="preserve">  BELOW THE LINE</t>
        </is>
      </c>
      <c r="C32" s="10" t="n"/>
      <c r="D32" s="10" t="n"/>
      <c r="E32" s="10" t="n"/>
      <c r="F32" s="10" t="n"/>
    </row>
    <row r="33" ht="18" customHeight="1">
      <c r="B33" s="11" t="inlineStr">
        <is>
          <t>Interest expense</t>
        </is>
      </c>
      <c r="E33" s="12" t="n">
        <v>800</v>
      </c>
      <c r="F33" s="13">
        <f>IF(E13=0,0,E33/E13)</f>
        <v/>
      </c>
    </row>
    <row r="34" ht="20" customHeight="1">
      <c r="B34" s="14" t="inlineStr">
        <is>
          <t>EBT (Profit Before Tax)</t>
        </is>
      </c>
      <c r="C34" s="15" t="n"/>
      <c r="D34" s="15" t="n"/>
      <c r="E34" s="16">
        <f>E30-E33</f>
        <v/>
      </c>
      <c r="F34" s="18">
        <f>IF(E13=0,0,E34/E13)</f>
        <v/>
      </c>
    </row>
    <row r="35" ht="18" customHeight="1">
      <c r="B35" s="11" t="inlineStr">
        <is>
          <t>Tax rate (%)</t>
        </is>
      </c>
      <c r="E35" s="23" t="n">
        <v>0.25</v>
      </c>
    </row>
    <row r="36" ht="18" customHeight="1">
      <c r="B36" s="11" t="inlineStr">
        <is>
          <t>Income tax</t>
        </is>
      </c>
      <c r="E36" s="24">
        <f>IF(E34&gt;0,E34*E35,0)</f>
        <v/>
      </c>
      <c r="F36" s="13">
        <f>IF(E13=0,0,E36/E13)</f>
        <v/>
      </c>
    </row>
    <row r="37" ht="26" customHeight="1">
      <c r="B37" s="25" t="inlineStr">
        <is>
          <t>NET PROFIT (BOTTOM LINE)</t>
        </is>
      </c>
      <c r="C37" s="10" t="n"/>
      <c r="D37" s="10" t="n"/>
      <c r="E37" s="26">
        <f>E34-E36</f>
        <v/>
      </c>
      <c r="F37" s="27">
        <f>IF(E13=0,0,E37/E13)</f>
        <v/>
      </c>
    </row>
    <row r="39" ht="22" customHeight="1">
      <c r="B39" s="9" t="inlineStr">
        <is>
          <t xml:space="preserve">  KEY METRICS SUMMARY</t>
        </is>
      </c>
      <c r="C39" s="10" t="n"/>
      <c r="D39" s="10" t="n"/>
      <c r="E39" s="10" t="n"/>
      <c r="F39" s="10" t="n"/>
    </row>
    <row r="40" ht="18" customHeight="1">
      <c r="B40" s="11" t="inlineStr">
        <is>
          <t>Gross Profit Margin</t>
        </is>
      </c>
      <c r="E40" s="28">
        <f>IF(E13=0,0,E20/E13)</f>
        <v/>
      </c>
    </row>
    <row r="41" ht="18" customHeight="1">
      <c r="B41" s="11" t="inlineStr">
        <is>
          <t>Operating Profit Margin (EBIT)</t>
        </is>
      </c>
      <c r="E41" s="28">
        <f>IF(E13=0,0,E30/E13)</f>
        <v/>
      </c>
    </row>
    <row r="42" ht="18" customHeight="1">
      <c r="B42" s="11" t="inlineStr">
        <is>
          <t>Net Profit Margin</t>
        </is>
      </c>
      <c r="E42" s="28">
        <f>IF(E13=0,0,E37/E13)</f>
        <v/>
      </c>
    </row>
    <row r="43" ht="18" customHeight="1">
      <c r="B43" s="11" t="inlineStr">
        <is>
          <t>COGS as % of Revenue</t>
        </is>
      </c>
      <c r="E43" s="28">
        <f>IF(E13=0,0,E19/E13)</f>
        <v/>
      </c>
    </row>
    <row r="44" ht="18" customHeight="1">
      <c r="B44" s="11" t="inlineStr">
        <is>
          <t>OpEx as % of Revenue</t>
        </is>
      </c>
      <c r="E44" s="28">
        <f>IF(E13=0,0,E29/E13)</f>
        <v/>
      </c>
    </row>
    <row r="46">
      <c r="B46" s="29" t="inlineStr">
        <is>
          <t>INSTRUCTIONS: Enter your numbers in BLUE cells only. All other cells calculate automatically. Blue = input. Black = formula.</t>
        </is>
      </c>
    </row>
  </sheetData>
  <mergeCells count="3">
    <mergeCell ref="B2:F2"/>
    <mergeCell ref="B37:D37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B1:F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34" customWidth="1" min="2" max="2"/>
    <col width="4" customWidth="1" min="3" max="3"/>
    <col width="4" customWidth="1" min="4" max="4"/>
    <col width="16" customWidth="1" min="5" max="5"/>
    <col width="16" customWidth="1" min="6" max="6"/>
    <col width="4" customWidth="1" min="7" max="7"/>
  </cols>
  <sheetData>
    <row r="1" ht="42" customHeight="1">
      <c r="B1" s="5" t="inlineStr">
        <is>
          <t>BALANCE SHEET</t>
        </is>
      </c>
    </row>
    <row r="2" ht="18" customHeight="1">
      <c r="B2" s="6" t="inlineStr">
        <is>
          <t>The Solo Operator's Financial Toolkit  •  harianand07</t>
        </is>
      </c>
    </row>
    <row r="3" ht="8" customHeight="1"/>
    <row r="4" ht="22" customHeight="1">
      <c r="B4" s="7" t="inlineStr">
        <is>
          <t>Line Item</t>
        </is>
      </c>
      <c r="E4" s="8" t="inlineStr">
        <is>
          <t>Amount ($)</t>
        </is>
      </c>
      <c r="F4" s="8" t="inlineStr">
        <is>
          <t>Notes / Ratio</t>
        </is>
      </c>
    </row>
    <row r="5" ht="6" customHeight="1"/>
    <row r="6" ht="22" customHeight="1">
      <c r="B6" s="9" t="inlineStr">
        <is>
          <t xml:space="preserve">  ASSETS</t>
        </is>
      </c>
      <c r="C6" s="10" t="n"/>
      <c r="D6" s="10" t="n"/>
      <c r="E6" s="10" t="n"/>
      <c r="F6" s="10" t="n"/>
    </row>
    <row r="7" ht="20" customHeight="1">
      <c r="B7" s="30" t="inlineStr">
        <is>
          <t>Current Assets</t>
        </is>
      </c>
    </row>
    <row r="8" ht="18" customHeight="1">
      <c r="B8" s="11" t="inlineStr">
        <is>
          <t xml:space="preserve">    Cash &amp; bank balance</t>
        </is>
      </c>
      <c r="E8" s="12" t="n">
        <v>22000</v>
      </c>
    </row>
    <row r="9" ht="18" customHeight="1">
      <c r="B9" s="11" t="inlineStr">
        <is>
          <t xml:space="preserve">    Accounts receivable</t>
        </is>
      </c>
      <c r="E9" s="12" t="n">
        <v>14000</v>
      </c>
    </row>
    <row r="10" ht="18" customHeight="1">
      <c r="B10" s="11" t="inlineStr">
        <is>
          <t xml:space="preserve">    Inventory / stock</t>
        </is>
      </c>
      <c r="E10" s="12" t="n">
        <v>18000</v>
      </c>
    </row>
    <row r="11" ht="18" customHeight="1">
      <c r="B11" s="11" t="inlineStr">
        <is>
          <t xml:space="preserve">    Prepaid expenses</t>
        </is>
      </c>
      <c r="E11" s="12" t="n">
        <v>3000</v>
      </c>
    </row>
    <row r="12" ht="18" customHeight="1">
      <c r="B12" s="11" t="inlineStr">
        <is>
          <t xml:space="preserve">    Short-term investments</t>
        </is>
      </c>
      <c r="E12" s="12" t="n">
        <v>5000</v>
      </c>
    </row>
    <row r="13" ht="20" customHeight="1">
      <c r="B13" s="14" t="inlineStr">
        <is>
          <t>Total Current Assets</t>
        </is>
      </c>
      <c r="C13" s="15" t="n"/>
      <c r="D13" s="15" t="n"/>
      <c r="E13" s="16">
        <f>SUM(E8:E12)</f>
        <v/>
      </c>
    </row>
    <row r="14" ht="20" customHeight="1">
      <c r="B14" s="30" t="inlineStr">
        <is>
          <t>Non-Current Assets (Long-Term)</t>
        </is>
      </c>
    </row>
    <row r="15" ht="18" customHeight="1">
      <c r="B15" s="11" t="inlineStr">
        <is>
          <t xml:space="preserve">    Property &amp; equipment (cost)</t>
        </is>
      </c>
      <c r="E15" s="12" t="n">
        <v>45000</v>
      </c>
    </row>
    <row r="16" ht="18" customHeight="1">
      <c r="B16" s="11" t="inlineStr">
        <is>
          <t xml:space="preserve">    Less: accumulated depreciation</t>
        </is>
      </c>
      <c r="E16" s="12" t="n">
        <v>8000</v>
      </c>
    </row>
    <row r="17" ht="18" customHeight="1">
      <c r="B17" s="11" t="inlineStr">
        <is>
          <t xml:space="preserve">    Intangible assets / goodwill</t>
        </is>
      </c>
      <c r="E17" s="12" t="n">
        <v>5000</v>
      </c>
    </row>
    <row r="18" ht="18" customHeight="1">
      <c r="B18" s="11" t="inlineStr">
        <is>
          <t xml:space="preserve">    Long-term investments</t>
        </is>
      </c>
      <c r="E18" s="12" t="n">
        <v>10000</v>
      </c>
    </row>
    <row r="19" ht="20" customHeight="1">
      <c r="B19" s="31" t="inlineStr">
        <is>
          <t>Net Non-Current Assets</t>
        </is>
      </c>
      <c r="E19" s="16">
        <f>E15-E16+E17+E18</f>
        <v/>
      </c>
    </row>
    <row r="20" ht="24" customHeight="1">
      <c r="B20" s="25" t="inlineStr">
        <is>
          <t>TOTAL ASSETS</t>
        </is>
      </c>
      <c r="C20" s="10" t="n"/>
      <c r="D20" s="10" t="n"/>
      <c r="E20" s="26">
        <f>E13+E19</f>
        <v/>
      </c>
    </row>
    <row r="22" ht="22" customHeight="1">
      <c r="B22" s="9" t="inlineStr">
        <is>
          <t xml:space="preserve">  LIABILITIES</t>
        </is>
      </c>
      <c r="C22" s="10" t="n"/>
      <c r="D22" s="10" t="n"/>
      <c r="E22" s="10" t="n"/>
      <c r="F22" s="10" t="n"/>
    </row>
    <row r="23" ht="20" customHeight="1">
      <c r="B23" s="32" t="inlineStr">
        <is>
          <t>Current Liabilities (Due within 1 year)</t>
        </is>
      </c>
    </row>
    <row r="24" ht="18" customHeight="1">
      <c r="B24" s="11" t="inlineStr">
        <is>
          <t xml:space="preserve">    Accounts payable</t>
        </is>
      </c>
      <c r="E24" s="12" t="n">
        <v>9000</v>
      </c>
    </row>
    <row r="25" ht="18" customHeight="1">
      <c r="B25" s="11" t="inlineStr">
        <is>
          <t xml:space="preserve">    Short-term loans</t>
        </is>
      </c>
      <c r="E25" s="12" t="n">
        <v>6000</v>
      </c>
    </row>
    <row r="26" ht="18" customHeight="1">
      <c r="B26" s="11" t="inlineStr">
        <is>
          <t xml:space="preserve">    Accrued expenses</t>
        </is>
      </c>
      <c r="E26" s="12" t="n">
        <v>4000</v>
      </c>
    </row>
    <row r="27" ht="18" customHeight="1">
      <c r="B27" s="11" t="inlineStr">
        <is>
          <t xml:space="preserve">    Taxes payable</t>
        </is>
      </c>
      <c r="E27" s="12" t="n">
        <v>2500</v>
      </c>
    </row>
    <row r="28" ht="18" customHeight="1">
      <c r="B28" s="11" t="inlineStr">
        <is>
          <t xml:space="preserve">    Unearned revenue</t>
        </is>
      </c>
      <c r="E28" s="12" t="n">
        <v>1500</v>
      </c>
    </row>
    <row r="29" ht="20" customHeight="1">
      <c r="B29" s="33" t="inlineStr">
        <is>
          <t>Total Current Liabilities</t>
        </is>
      </c>
      <c r="C29" s="34" t="n"/>
      <c r="D29" s="34" t="n"/>
      <c r="E29" s="35">
        <f>SUM(E24:E28)</f>
        <v/>
      </c>
    </row>
    <row r="30" ht="20" customHeight="1">
      <c r="B30" s="32" t="inlineStr">
        <is>
          <t>Non-Current Liabilities (Long-Term)</t>
        </is>
      </c>
    </row>
    <row r="31" ht="18" customHeight="1">
      <c r="B31" s="11" t="inlineStr">
        <is>
          <t xml:space="preserve">    Long-term bank loans</t>
        </is>
      </c>
      <c r="E31" s="12" t="n">
        <v>20000</v>
      </c>
    </row>
    <row r="32" ht="18" customHeight="1">
      <c r="B32" s="11" t="inlineStr">
        <is>
          <t xml:space="preserve">    Deferred tax liability</t>
        </is>
      </c>
      <c r="E32" s="12" t="n">
        <v>2500</v>
      </c>
    </row>
    <row r="33" ht="18" customHeight="1">
      <c r="B33" s="11" t="inlineStr">
        <is>
          <t xml:space="preserve">    Other long-term liabilities</t>
        </is>
      </c>
      <c r="E33" s="12" t="n">
        <v>0</v>
      </c>
    </row>
    <row r="34" ht="20" customHeight="1">
      <c r="B34" s="33" t="inlineStr">
        <is>
          <t>Total Non-Current Liabilities</t>
        </is>
      </c>
      <c r="C34" s="34" t="n"/>
      <c r="D34" s="34" t="n"/>
      <c r="E34" s="35">
        <f>SUM(E31:E33)</f>
        <v/>
      </c>
    </row>
    <row r="35" ht="24" customHeight="1">
      <c r="B35" s="36" t="inlineStr">
        <is>
          <t>TOTAL LIABILITIES</t>
        </is>
      </c>
      <c r="C35" s="37" t="n"/>
      <c r="D35" s="37" t="n"/>
      <c r="E35" s="38">
        <f>E29+E34</f>
        <v/>
      </c>
    </row>
    <row r="37" ht="22" customHeight="1">
      <c r="B37" s="9" t="inlineStr">
        <is>
          <t xml:space="preserve">  OWNER'S EQUITY</t>
        </is>
      </c>
      <c r="C37" s="10" t="n"/>
      <c r="D37" s="10" t="n"/>
      <c r="E37" s="10" t="n"/>
      <c r="F37" s="10" t="n"/>
    </row>
    <row r="38" ht="18" customHeight="1">
      <c r="B38" s="11" t="inlineStr">
        <is>
          <t xml:space="preserve">    Owner's capital contributed</t>
        </is>
      </c>
      <c r="E38" s="12" t="n">
        <v>30000</v>
      </c>
    </row>
    <row r="39" ht="18" customHeight="1">
      <c r="B39" s="11" t="inlineStr">
        <is>
          <t xml:space="preserve">    Retained earnings (prior years)</t>
        </is>
      </c>
      <c r="E39" s="12" t="n">
        <v>15000</v>
      </c>
    </row>
    <row r="40" ht="18" customHeight="1">
      <c r="B40" s="11" t="inlineStr">
        <is>
          <t xml:space="preserve">    Current year net profit</t>
        </is>
      </c>
      <c r="E40" s="12" t="n">
        <v>0</v>
      </c>
    </row>
    <row r="41">
      <c r="B41" s="29" t="inlineStr">
        <is>
          <t>Tip: Link 'Current year net profit' from your Income Statement.</t>
        </is>
      </c>
    </row>
    <row r="42" ht="24" customHeight="1">
      <c r="B42" s="39" t="inlineStr">
        <is>
          <t>TOTAL OWNER'S EQUITY  (Assets − Liabilities)</t>
        </is>
      </c>
      <c r="C42" s="10" t="n"/>
      <c r="D42" s="10" t="n"/>
      <c r="E42" s="26">
        <f>E20-E35</f>
        <v/>
      </c>
    </row>
    <row r="44" ht="22" customHeight="1">
      <c r="B44" s="9" t="inlineStr">
        <is>
          <t xml:space="preserve">  FINANCIAL HEALTH RATIOS</t>
        </is>
      </c>
      <c r="C44" s="10" t="n"/>
      <c r="D44" s="10" t="n"/>
      <c r="E44" s="10" t="n"/>
      <c r="F44" s="10" t="n"/>
    </row>
    <row r="45" ht="18" customHeight="1">
      <c r="B45" s="11" t="inlineStr">
        <is>
          <t>Current Ratio  (ideal &gt; 1.5)</t>
        </is>
      </c>
      <c r="E45" s="40">
        <f>IFERROR(E13/E29,0)</f>
        <v/>
      </c>
      <c r="F45" s="29" t="inlineStr">
        <is>
          <t>Measures short-term liquidity</t>
        </is>
      </c>
    </row>
    <row r="46" ht="18" customHeight="1">
      <c r="B46" s="11" t="inlineStr">
        <is>
          <t>Quick Ratio  (ideal &gt; 1.0)</t>
        </is>
      </c>
      <c r="E46" s="40">
        <f>IFERROR((E8+E9)/E29,0)</f>
        <v/>
      </c>
      <c r="F46" s="29" t="inlineStr">
        <is>
          <t>Cash + receivables vs current liabilities</t>
        </is>
      </c>
    </row>
    <row r="47" ht="18" customHeight="1">
      <c r="B47" s="11" t="inlineStr">
        <is>
          <t>Debt Ratio  (ideal &lt; 0.5)</t>
        </is>
      </c>
      <c r="E47" s="41">
        <f>IFERROR(E35/E20,0)</f>
        <v/>
      </c>
      <c r="F47" s="29" t="inlineStr">
        <is>
          <t>% of assets financed by debt</t>
        </is>
      </c>
    </row>
    <row r="48" ht="18" customHeight="1">
      <c r="B48" s="11" t="inlineStr">
        <is>
          <t>Debt-to-Equity  (ideal &lt; 1.0)</t>
        </is>
      </c>
      <c r="E48" s="40">
        <f>IFERROR(E35/E42,0)</f>
        <v/>
      </c>
      <c r="F48" s="29" t="inlineStr">
        <is>
          <t>Debt vs owner equity</t>
        </is>
      </c>
    </row>
    <row r="49" ht="18" customHeight="1">
      <c r="B49" s="11" t="inlineStr">
        <is>
          <t>Working Capital ($)</t>
        </is>
      </c>
      <c r="E49" s="42">
        <f>E13-E29</f>
        <v/>
      </c>
      <c r="F49" s="29" t="inlineStr">
        <is>
          <t>Current assets minus current liabilities</t>
        </is>
      </c>
    </row>
    <row r="50" ht="18" customHeight="1">
      <c r="B50" s="11" t="inlineStr">
        <is>
          <t>Balance Check (must = 0)</t>
        </is>
      </c>
      <c r="E50" s="42">
        <f>E20-E35-E42</f>
        <v/>
      </c>
      <c r="F50" s="29" t="inlineStr">
        <is>
          <t>Must be zero — if not, recheck inputs</t>
        </is>
      </c>
    </row>
    <row r="52">
      <c r="B52" s="29" t="inlineStr">
        <is>
          <t>INSTRUCTIONS: Enter your numbers in BLUE cells. All ratios calculate automatically. The Balance Check must equal $0 — if it doesn't, check your equity inputs.</t>
        </is>
      </c>
    </row>
  </sheetData>
  <mergeCells count="9">
    <mergeCell ref="B30:F30"/>
    <mergeCell ref="B42:D42"/>
    <mergeCell ref="B7:F7"/>
    <mergeCell ref="B2:F2"/>
    <mergeCell ref="B35:D35"/>
    <mergeCell ref="B23:F23"/>
    <mergeCell ref="B1:F1"/>
    <mergeCell ref="B14:F14"/>
    <mergeCell ref="B20:D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B1:J4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" customWidth="1" min="1" max="1"/>
    <col width="30" customWidth="1" min="2" max="2"/>
    <col width="4" customWidth="1" min="3" max="3"/>
    <col width="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" customWidth="1" min="11" max="11"/>
  </cols>
  <sheetData>
    <row r="1" ht="42" customHeight="1">
      <c r="B1" s="43" t="inlineStr">
        <is>
          <t>CASH FLOW STATEMENT  —  12-MONTH TRACKER</t>
        </is>
      </c>
    </row>
    <row r="2" ht="18" customHeight="1">
      <c r="B2" s="6" t="inlineStr">
        <is>
          <t>The Solo Operator's Financial Toolkit  •  harianand07</t>
        </is>
      </c>
    </row>
    <row r="3" ht="8" customHeight="1"/>
    <row r="4" ht="22" customHeight="1">
      <c r="B4" s="44" t="inlineStr">
        <is>
          <t>Line Item</t>
        </is>
      </c>
      <c r="E4" s="8" t="inlineStr">
        <is>
          <t>Jan</t>
        </is>
      </c>
      <c r="F4" s="8" t="inlineStr">
        <is>
          <t>Feb</t>
        </is>
      </c>
      <c r="G4" s="8" t="inlineStr">
        <is>
          <t>Mar</t>
        </is>
      </c>
      <c r="H4" s="8" t="inlineStr">
        <is>
          <t>Apr</t>
        </is>
      </c>
      <c r="I4" s="8" t="inlineStr">
        <is>
          <t>May</t>
        </is>
      </c>
      <c r="J4" s="8" t="inlineStr">
        <is>
          <t>Jun</t>
        </is>
      </c>
    </row>
    <row r="5" ht="6" customHeight="1"/>
    <row r="6" ht="22" customHeight="1">
      <c r="B6" s="9" t="inlineStr">
        <is>
          <t xml:space="preserve">  OPENING CASH BALANCE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18" customHeight="1">
      <c r="B7" s="11" t="inlineStr">
        <is>
          <t>Cash at start of month</t>
        </is>
      </c>
      <c r="E7" s="12" t="n">
        <v>15000</v>
      </c>
      <c r="F7" s="24">
        <f>E21</f>
        <v/>
      </c>
      <c r="G7" s="24">
        <f>F21</f>
        <v/>
      </c>
      <c r="H7" s="24">
        <f>G21</f>
        <v/>
      </c>
      <c r="I7" s="24">
        <f>H21</f>
        <v/>
      </c>
      <c r="J7" s="24">
        <f>I21</f>
        <v/>
      </c>
    </row>
    <row r="8" ht="6" customHeight="1"/>
    <row r="9" ht="22" customHeight="1">
      <c r="B9" s="9" t="inlineStr">
        <is>
          <t xml:space="preserve">  OPERATING ACTIVITIES — CASH IN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18" customHeight="1">
      <c r="B10" s="11" t="inlineStr">
        <is>
          <t xml:space="preserve">    Cash received from customers</t>
        </is>
      </c>
      <c r="E10" s="12" t="n">
        <v>38000</v>
      </c>
      <c r="F10" s="12" t="n">
        <v>41000</v>
      </c>
      <c r="G10" s="12" t="n">
        <v>37000</v>
      </c>
      <c r="H10" s="12" t="n">
        <v>44000</v>
      </c>
      <c r="I10" s="12" t="n">
        <v>42000</v>
      </c>
      <c r="J10" s="12" t="n">
        <v>46000</v>
      </c>
    </row>
    <row r="11" ht="18" customHeight="1">
      <c r="B11" s="11" t="inlineStr">
        <is>
          <t xml:space="preserve">    Other operating receipts</t>
        </is>
      </c>
      <c r="E11" s="12" t="n">
        <v>1000</v>
      </c>
      <c r="F11" s="12" t="n">
        <v>1200</v>
      </c>
      <c r="G11" s="12" t="n">
        <v>800</v>
      </c>
      <c r="H11" s="12" t="n">
        <v>1500</v>
      </c>
      <c r="I11" s="12" t="n">
        <v>1100</v>
      </c>
      <c r="J11" s="12" t="n">
        <v>1300</v>
      </c>
    </row>
    <row r="12" ht="18" customHeight="1">
      <c r="B12" s="11" t="inlineStr">
        <is>
          <t>Total Cash Inflows</t>
        </is>
      </c>
      <c r="E12" s="45">
        <f>SUM(E10:E11)</f>
        <v/>
      </c>
      <c r="F12" s="45">
        <f>SUM(F10:F11)</f>
        <v/>
      </c>
      <c r="G12" s="45">
        <f>SUM(G10:G11)</f>
        <v/>
      </c>
      <c r="H12" s="45">
        <f>SUM(H10:H11)</f>
        <v/>
      </c>
      <c r="I12" s="45">
        <f>SUM(I10:I11)</f>
        <v/>
      </c>
      <c r="J12" s="45">
        <f>SUM(J10:J11)</f>
        <v/>
      </c>
    </row>
    <row r="13" ht="6" customHeight="1"/>
    <row r="14" ht="22" customHeight="1">
      <c r="B14" s="9" t="inlineStr">
        <is>
          <t xml:space="preserve">  OPERATING ACTIVITIES — CASH OUT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8" customHeight="1">
      <c r="B15" s="11" t="inlineStr">
        <is>
          <t xml:space="preserve">    Payments to suppliers</t>
        </is>
      </c>
      <c r="E15" s="12" t="n">
        <v>14000</v>
      </c>
      <c r="F15" s="12" t="n">
        <v>15000</v>
      </c>
      <c r="G15" s="12" t="n">
        <v>13500</v>
      </c>
      <c r="H15" s="12" t="n">
        <v>16000</v>
      </c>
      <c r="I15" s="12" t="n">
        <v>14500</v>
      </c>
      <c r="J15" s="12" t="n">
        <v>15500</v>
      </c>
    </row>
    <row r="16" ht="18" customHeight="1">
      <c r="B16" s="11" t="inlineStr">
        <is>
          <t xml:space="preserve">    Staff salaries paid</t>
        </is>
      </c>
      <c r="E16" s="12" t="n">
        <v>12000</v>
      </c>
      <c r="F16" s="12" t="n">
        <v>12000</v>
      </c>
      <c r="G16" s="12" t="n">
        <v>12000</v>
      </c>
      <c r="H16" s="12" t="n">
        <v>12000</v>
      </c>
      <c r="I16" s="12" t="n">
        <v>12000</v>
      </c>
      <c r="J16" s="12" t="n">
        <v>12000</v>
      </c>
    </row>
    <row r="17" ht="18" customHeight="1">
      <c r="B17" s="11" t="inlineStr">
        <is>
          <t xml:space="preserve">    Rent &amp; utilities</t>
        </is>
      </c>
      <c r="E17" s="12" t="n">
        <v>4000</v>
      </c>
      <c r="F17" s="12" t="n">
        <v>4000</v>
      </c>
      <c r="G17" s="12" t="n">
        <v>4000</v>
      </c>
      <c r="H17" s="12" t="n">
        <v>4000</v>
      </c>
      <c r="I17" s="12" t="n">
        <v>4000</v>
      </c>
      <c r="J17" s="12" t="n">
        <v>4000</v>
      </c>
    </row>
    <row r="18" ht="18" customHeight="1">
      <c r="B18" s="11" t="inlineStr">
        <is>
          <t xml:space="preserve">    Marketing &amp; advertising</t>
        </is>
      </c>
      <c r="E18" s="12" t="n">
        <v>3000</v>
      </c>
      <c r="F18" s="12" t="n">
        <v>2500</v>
      </c>
      <c r="G18" s="12" t="n">
        <v>3500</v>
      </c>
      <c r="H18" s="12" t="n">
        <v>4000</v>
      </c>
      <c r="I18" s="12" t="n">
        <v>3000</v>
      </c>
      <c r="J18" s="12" t="n">
        <v>3500</v>
      </c>
    </row>
    <row r="19" ht="18" customHeight="1">
      <c r="B19" s="11" t="inlineStr">
        <is>
          <t xml:space="preserve">    Tax payments</t>
        </is>
      </c>
      <c r="E19" s="12" t="n">
        <v>2500</v>
      </c>
      <c r="F19" s="12" t="n">
        <v>0</v>
      </c>
      <c r="G19" s="12" t="n">
        <v>2500</v>
      </c>
      <c r="H19" s="12" t="n">
        <v>0</v>
      </c>
      <c r="I19" s="12" t="n">
        <v>2500</v>
      </c>
      <c r="J19" s="12" t="n">
        <v>0</v>
      </c>
    </row>
    <row r="20" ht="18" customHeight="1">
      <c r="B20" s="11" t="inlineStr">
        <is>
          <t xml:space="preserve">    Other operating payments</t>
        </is>
      </c>
      <c r="E20" s="12" t="n">
        <v>1800</v>
      </c>
      <c r="F20" s="12" t="n">
        <v>2000</v>
      </c>
      <c r="G20" s="12" t="n">
        <v>1600</v>
      </c>
      <c r="H20" s="12" t="n">
        <v>2200</v>
      </c>
      <c r="I20" s="12" t="n">
        <v>1900</v>
      </c>
      <c r="J20" s="12" t="n">
        <v>2100</v>
      </c>
    </row>
    <row r="21" ht="18" customHeight="1">
      <c r="B21" s="11" t="inlineStr">
        <is>
          <t>Total Cash Outflows</t>
        </is>
      </c>
      <c r="E21" s="46">
        <f>SUM(E15:E20)</f>
        <v/>
      </c>
      <c r="F21" s="46">
        <f>SUM(F15:F20)</f>
        <v/>
      </c>
      <c r="G21" s="46">
        <f>SUM(G15:G20)</f>
        <v/>
      </c>
      <c r="H21" s="46">
        <f>SUM(H15:H20)</f>
        <v/>
      </c>
      <c r="I21" s="46">
        <f>SUM(I15:I20)</f>
        <v/>
      </c>
      <c r="J21" s="46">
        <f>SUM(J15:J20)</f>
        <v/>
      </c>
    </row>
    <row r="22" ht="22" customHeight="1">
      <c r="B22" s="11" t="inlineStr">
        <is>
          <t>NET OPERATING CASH FLOW</t>
        </is>
      </c>
      <c r="E22" s="47">
        <f>E12-E21</f>
        <v/>
      </c>
      <c r="F22" s="47">
        <f>F12-F21</f>
        <v/>
      </c>
      <c r="G22" s="47">
        <f>G12-G21</f>
        <v/>
      </c>
      <c r="H22" s="47">
        <f>H12-H21</f>
        <v/>
      </c>
      <c r="I22" s="47">
        <f>I12-I21</f>
        <v/>
      </c>
      <c r="J22" s="47">
        <f>J12-J21</f>
        <v/>
      </c>
    </row>
    <row r="24" ht="22" customHeight="1">
      <c r="B24" s="9" t="inlineStr">
        <is>
          <t xml:space="preserve">  INVESTING ACTIVITIES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 ht="18" customHeight="1">
      <c r="B25" s="11" t="inlineStr">
        <is>
          <t xml:space="preserve">    Equipment / asset purchases (outflow)</t>
        </is>
      </c>
      <c r="E25" s="12" t="n">
        <v>5000</v>
      </c>
      <c r="F25" s="12" t="n">
        <v>0</v>
      </c>
      <c r="G25" s="12" t="n">
        <v>0</v>
      </c>
      <c r="H25" s="12" t="n">
        <v>8000</v>
      </c>
      <c r="I25" s="12" t="n">
        <v>0</v>
      </c>
      <c r="J25" s="12" t="n">
        <v>0</v>
      </c>
    </row>
    <row r="26" ht="18" customHeight="1">
      <c r="B26" s="11" t="inlineStr">
        <is>
          <t xml:space="preserve">    Asset sales / disposals (inflow)</t>
        </is>
      </c>
      <c r="E26" s="12" t="n">
        <v>0</v>
      </c>
      <c r="F26" s="12" t="n">
        <v>1200</v>
      </c>
      <c r="G26" s="12" t="n">
        <v>0</v>
      </c>
      <c r="H26" s="12" t="n">
        <v>0</v>
      </c>
      <c r="I26" s="12" t="n">
        <v>2000</v>
      </c>
      <c r="J26" s="12" t="n">
        <v>0</v>
      </c>
    </row>
    <row r="27" ht="18" customHeight="1">
      <c r="B27" s="11" t="inlineStr">
        <is>
          <t>Net Investing Cash Flow</t>
        </is>
      </c>
      <c r="E27" s="48">
        <f>E26-E25</f>
        <v/>
      </c>
      <c r="F27" s="48">
        <f>F26-F25</f>
        <v/>
      </c>
      <c r="G27" s="48">
        <f>G26-G25</f>
        <v/>
      </c>
      <c r="H27" s="48">
        <f>H26-H25</f>
        <v/>
      </c>
      <c r="I27" s="48">
        <f>I26-I25</f>
        <v/>
      </c>
      <c r="J27" s="48">
        <f>J26-J25</f>
        <v/>
      </c>
    </row>
    <row r="29" ht="22" customHeight="1">
      <c r="B29" s="9" t="inlineStr">
        <is>
          <t xml:space="preserve">  FINANCING ACTIVITIES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 ht="18" customHeight="1">
      <c r="B30" s="11" t="inlineStr">
        <is>
          <t xml:space="preserve">    Loans received (inflow)</t>
        </is>
      </c>
      <c r="E30" s="12" t="n">
        <v>0</v>
      </c>
      <c r="F30" s="12" t="n">
        <v>0</v>
      </c>
      <c r="G30" s="12" t="n">
        <v>10000</v>
      </c>
      <c r="H30" s="12" t="n">
        <v>0</v>
      </c>
      <c r="I30" s="12" t="n">
        <v>0</v>
      </c>
      <c r="J30" s="12" t="n">
        <v>0</v>
      </c>
    </row>
    <row r="31" ht="18" customHeight="1">
      <c r="B31" s="11" t="inlineStr">
        <is>
          <t xml:space="preserve">    Loan repayments (outflow)</t>
        </is>
      </c>
      <c r="E31" s="12" t="n">
        <v>2000</v>
      </c>
      <c r="F31" s="12" t="n">
        <v>2000</v>
      </c>
      <c r="G31" s="12" t="n">
        <v>2000</v>
      </c>
      <c r="H31" s="12" t="n">
        <v>2000</v>
      </c>
      <c r="I31" s="12" t="n">
        <v>2000</v>
      </c>
      <c r="J31" s="12" t="n">
        <v>2000</v>
      </c>
    </row>
    <row r="32" ht="18" customHeight="1">
      <c r="B32" s="11" t="inlineStr">
        <is>
          <t xml:space="preserve">    Owner drawings / dividends</t>
        </is>
      </c>
      <c r="E32" s="12" t="n">
        <v>3000</v>
      </c>
      <c r="F32" s="12" t="n">
        <v>3000</v>
      </c>
      <c r="G32" s="12" t="n">
        <v>3000</v>
      </c>
      <c r="H32" s="12" t="n">
        <v>3000</v>
      </c>
      <c r="I32" s="12" t="n">
        <v>3000</v>
      </c>
      <c r="J32" s="12" t="n">
        <v>3000</v>
      </c>
    </row>
    <row r="33" ht="18" customHeight="1">
      <c r="B33" s="11" t="inlineStr">
        <is>
          <t>Net Financing Cash Flow</t>
        </is>
      </c>
      <c r="E33" s="49">
        <f>E30-E31-E32</f>
        <v/>
      </c>
      <c r="F33" s="49">
        <f>F30-F31-F32</f>
        <v/>
      </c>
      <c r="G33" s="49">
        <f>G30-G31-G32</f>
        <v/>
      </c>
      <c r="H33" s="49">
        <f>H30-H31-H32</f>
        <v/>
      </c>
      <c r="I33" s="49">
        <f>I30-I31-I32</f>
        <v/>
      </c>
      <c r="J33" s="49">
        <f>J30-J31-J32</f>
        <v/>
      </c>
    </row>
    <row r="35" ht="22" customHeight="1">
      <c r="B35" s="50" t="inlineStr">
        <is>
          <t xml:space="preserve">  CLOSING BALANCE</t>
        </is>
      </c>
      <c r="C35" s="51" t="n"/>
      <c r="D35" s="51" t="n"/>
      <c r="E35" s="51" t="n"/>
      <c r="F35" s="51" t="n"/>
      <c r="G35" s="51" t="n"/>
      <c r="H35" s="51" t="n"/>
      <c r="I35" s="51" t="n"/>
      <c r="J35" s="51" t="n"/>
    </row>
    <row r="36" ht="18" customHeight="1">
      <c r="B36" s="11" t="inlineStr">
        <is>
          <t>Net Change in Cash</t>
        </is>
      </c>
      <c r="E36" s="52">
        <f>E22+E27+E33</f>
        <v/>
      </c>
      <c r="F36" s="52">
        <f>F22+F27+F33</f>
        <v/>
      </c>
      <c r="G36" s="52">
        <f>G22+G27+G33</f>
        <v/>
      </c>
      <c r="H36" s="52">
        <f>H22+H27+H33</f>
        <v/>
      </c>
      <c r="I36" s="52">
        <f>I22+I27+I33</f>
        <v/>
      </c>
      <c r="J36" s="52">
        <f>J22+J27+J33</f>
        <v/>
      </c>
    </row>
    <row r="37" ht="26" customHeight="1">
      <c r="B37" s="25" t="inlineStr">
        <is>
          <t>CLOSING CASH BALANCE</t>
        </is>
      </c>
      <c r="E37" s="53">
        <f>E7+E36</f>
        <v/>
      </c>
      <c r="F37" s="53">
        <f>F7+F36</f>
        <v/>
      </c>
      <c r="G37" s="53">
        <f>G7+G36</f>
        <v/>
      </c>
      <c r="H37" s="53">
        <f>H7+H36</f>
        <v/>
      </c>
      <c r="I37" s="53">
        <f>I7+I36</f>
        <v/>
      </c>
      <c r="J37" s="53">
        <f>J7+J36</f>
        <v/>
      </c>
    </row>
    <row r="39" ht="22" customHeight="1">
      <c r="B39" s="9" t="inlineStr">
        <is>
          <t xml:space="preserve">  CASH RUNWAY &amp; KEY METRICS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 ht="18" customHeight="1">
      <c r="B40" s="11" t="inlineStr">
        <is>
          <t>Monthly cash burn rate</t>
        </is>
      </c>
      <c r="E40" s="54">
        <f>E21+E31+E32</f>
        <v/>
      </c>
      <c r="F40" s="54">
        <f>F21+F31+F32</f>
        <v/>
      </c>
      <c r="G40" s="54">
        <f>G21+G31+G32</f>
        <v/>
      </c>
      <c r="H40" s="54">
        <f>H21+H31+H32</f>
        <v/>
      </c>
      <c r="I40" s="54">
        <f>I21+I31+I32</f>
        <v/>
      </c>
      <c r="J40" s="54">
        <f>J21+J31+J32</f>
        <v/>
      </c>
    </row>
    <row r="41" ht="18" customHeight="1">
      <c r="B41" s="11" t="inlineStr">
        <is>
          <t>Runway (months remaining)</t>
        </is>
      </c>
      <c r="E41" s="55">
        <f>IFERROR(E37/E40,99)</f>
        <v/>
      </c>
      <c r="F41" s="55">
        <f>IFERROR(F37/F40,99)</f>
        <v/>
      </c>
      <c r="G41" s="55">
        <f>IFERROR(G37/G40,99)</f>
        <v/>
      </c>
      <c r="H41" s="55">
        <f>IFERROR(H37/H40,99)</f>
        <v/>
      </c>
      <c r="I41" s="55">
        <f>IFERROR(I37/I40,99)</f>
        <v/>
      </c>
      <c r="J41" s="55">
        <f>IFERROR(J37/J40,99)</f>
        <v/>
      </c>
    </row>
    <row r="42" ht="18" customHeight="1">
      <c r="B42" s="11" t="inlineStr">
        <is>
          <t>Operating cash flow margin</t>
        </is>
      </c>
      <c r="E42" s="56">
        <f>IFERROR(E22/E12,0)</f>
        <v/>
      </c>
      <c r="F42" s="56">
        <f>IFERROR(F22/F12,0)</f>
        <v/>
      </c>
      <c r="G42" s="56">
        <f>IFERROR(G22/G12,0)</f>
        <v/>
      </c>
      <c r="H42" s="56">
        <f>IFERROR(H22/H12,0)</f>
        <v/>
      </c>
      <c r="I42" s="56">
        <f>IFERROR(I22/I12,0)</f>
        <v/>
      </c>
      <c r="J42" s="56">
        <f>IFERROR(J22/J12,0)</f>
        <v/>
      </c>
    </row>
    <row r="44">
      <c r="B44" s="29" t="inlineStr">
        <is>
          <t>INSTRUCTIONS: Blue cells = your inputs. Enter monthly figures for each column. Feb-Jun opening balances auto-link from prior month closing. Runway shows how many months of cash you have left at current burn rate.</t>
        </is>
      </c>
    </row>
  </sheetData>
  <mergeCells count="2">
    <mergeCell ref="B1:J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2026-05-23T12:48:26Z</dcterms:created>
  <dcterms:modified xsi:type="dcterms:W3CDTF">2026-05-23T12:48:26Z</dcterms:modified>
</cp:coreProperties>
</file>